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laepple/Nextcloud/KohnenRecords2526/General/"/>
    </mc:Choice>
  </mc:AlternateContent>
  <xr:revisionPtr revIDLastSave="0" documentId="13_ncr:1_{DE689EDA-3DA1-0945-9A94-18B4D494069B}" xr6:coauthVersionLast="47" xr6:coauthVersionMax="47" xr10:uidLastSave="{00000000-0000-0000-0000-000000000000}"/>
  <bookViews>
    <workbookView xWindow="0" yWindow="880" windowWidth="30240" windowHeight="16820" xr2:uid="{F838D07E-B51C-1F4F-91A6-BA87174E0F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" i="1" l="1"/>
  <c r="T13" i="1"/>
  <c r="L13" i="1"/>
  <c r="M13" i="1" s="1"/>
  <c r="O13" i="1" s="1"/>
  <c r="E25" i="1"/>
  <c r="B25" i="1"/>
  <c r="T8" i="1" l="1"/>
  <c r="T9" i="1"/>
  <c r="T10" i="1"/>
  <c r="T11" i="1"/>
  <c r="T14" i="1" s="1"/>
  <c r="T7" i="1"/>
  <c r="T19" i="1" l="1"/>
  <c r="O8" i="1"/>
  <c r="O10" i="1"/>
  <c r="Q9" i="1" l="1"/>
  <c r="Q11" i="1"/>
  <c r="Q7" i="1"/>
  <c r="L9" i="1"/>
  <c r="M9" i="1" s="1"/>
  <c r="O9" i="1" s="1"/>
  <c r="L11" i="1"/>
  <c r="M11" i="1" s="1"/>
  <c r="O11" i="1" s="1"/>
  <c r="L7" i="1"/>
  <c r="M7" i="1" s="1"/>
  <c r="O7" i="1" s="1"/>
  <c r="B22" i="1"/>
  <c r="B23" i="1"/>
  <c r="B19" i="1"/>
  <c r="B18" i="1"/>
</calcChain>
</file>

<file path=xl/sharedStrings.xml><?xml version="1.0" encoding="utf-8"?>
<sst xmlns="http://schemas.openxmlformats.org/spreadsheetml/2006/main" count="59" uniqueCount="56">
  <si>
    <t>Head</t>
  </si>
  <si>
    <t>Bytes pro Übertragung</t>
  </si>
  <si>
    <t>Dauer einer Messung</t>
  </si>
  <si>
    <t>Akkukapazität Modem</t>
  </si>
  <si>
    <t>Akkukapazität Head</t>
  </si>
  <si>
    <t>Übertragung pro Tag</t>
  </si>
  <si>
    <t>Kommentare</t>
  </si>
  <si>
    <t>Übertragene Parameter (z.B. NTC1, NTC2, GND, PRESSURE)</t>
  </si>
  <si>
    <t>Stromverbrauch (mA)</t>
  </si>
  <si>
    <t>Site / Ketten</t>
  </si>
  <si>
    <t>Problem mit Uhr</t>
  </si>
  <si>
    <t>gerade an B50</t>
  </si>
  <si>
    <t>gerade an B46 (60m-Kette in Schnee, 10m-Kette in Schnee, Atmospheric Sensor)</t>
  </si>
  <si>
    <t>gerade an B40 (200m-Kette, Kette in Schnee)</t>
  </si>
  <si>
    <t>Datetime, TempADC, NTC1, NTC2, TestSB, GND</t>
  </si>
  <si>
    <t>ca. 3:24 ohne Senden, 4:21 mit Senden (+/- 2s)</t>
  </si>
  <si>
    <t>ist vmtl. durch Kurzschluss abgeraucht, geht jetzt wieder</t>
  </si>
  <si>
    <t>an Antenne für B40</t>
  </si>
  <si>
    <t>in der Vergangenheit Probleme beim Wieder-Aufwachen</t>
  </si>
  <si>
    <t>an Antenne für B46</t>
  </si>
  <si>
    <t>22P2S</t>
  </si>
  <si>
    <t>44P</t>
  </si>
  <si>
    <t>Kapazität in Kaelge</t>
  </si>
  <si>
    <t>21P</t>
  </si>
  <si>
    <t>10P2S</t>
  </si>
  <si>
    <t>in sekunden</t>
  </si>
  <si>
    <t>Anzahl Stunden Logging</t>
  </si>
  <si>
    <t>Anzahl aufnahmen</t>
  </si>
  <si>
    <t>Modem Anzahl Sendungen pro Tag über 4 Jahre</t>
  </si>
  <si>
    <t>25000 Byte</t>
  </si>
  <si>
    <t>jede Stunde aufnehmen; 4x am Tag senden</t>
  </si>
  <si>
    <t>1 Jahr, jede 15minunten</t>
  </si>
  <si>
    <t>jede 10min aufnehmen</t>
  </si>
  <si>
    <t xml:space="preserve">157Ah… = 1/3 Jahr kontinuierlich; </t>
  </si>
  <si>
    <t>jede 1/2h aufnehmen; jede 24h senden (3 Jahre)</t>
  </si>
  <si>
    <t>jede 1/2h aufnehmen; jede 24h senden (5 Jahre)</t>
  </si>
  <si>
    <t>jede 10min aufnehmen, 6x am Tag senden</t>
  </si>
  <si>
    <t>bei zwei Jahren</t>
  </si>
  <si>
    <t>4h</t>
  </si>
  <si>
    <t>16mal senden</t>
  </si>
  <si>
    <t>ca. 3 ohne Senden, 4 mit Senden (+/- 5s)</t>
  </si>
  <si>
    <t>Zustand senden</t>
  </si>
  <si>
    <t>Firmware</t>
  </si>
  <si>
    <t>30min</t>
  </si>
  <si>
    <t>Datetime, TempADC, NTC1, GND, PRESSURE</t>
  </si>
  <si>
    <t>2h</t>
  </si>
  <si>
    <t>Datetime, TempADC, NTC1, NTC2, GND, PRESSURE</t>
  </si>
  <si>
    <t>ca. 5:20 ohne Senden, 06:07 mit Senden (+/- 3s)</t>
  </si>
  <si>
    <t xml:space="preserve">Verbrauch Daten </t>
  </si>
  <si>
    <t xml:space="preserve">Wie viel Minuten </t>
  </si>
  <si>
    <t>Wie oft taeglich</t>
  </si>
  <si>
    <t>Lebensdauer Jahre</t>
  </si>
  <si>
    <t>Groenland</t>
  </si>
  <si>
    <t>Zeit pro Messung</t>
  </si>
  <si>
    <t>Anzahl Nodes</t>
  </si>
  <si>
    <t>Datetime, TempADC, NTC1, NTC2,NTC3, 2x Druck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</si>
</sst>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wrapText="1"/>
    </xf>
    <xf numFmtId="16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0AE9B-27EE-E545-A995-4B44A92A8BD1}">
  <dimension ref="A4:AA38"/>
  <sheetViews>
    <sheetView tabSelected="1" workbookViewId="0">
      <selection activeCell="B9" sqref="B9"/>
    </sheetView>
  </sheetViews>
  <sheetFormatPr baseColWidth="10" defaultRowHeight="16" x14ac:dyDescent="0.2"/>
  <cols>
    <col min="1" max="1" width="34.6640625" customWidth="1"/>
    <col min="2" max="2" width="46.1640625" customWidth="1"/>
    <col min="3" max="3" width="16" customWidth="1"/>
    <col min="4" max="5" width="19.83203125" customWidth="1"/>
    <col min="6" max="6" width="67.33203125" customWidth="1"/>
    <col min="7" max="7" width="10.5" customWidth="1"/>
    <col min="8" max="8" width="40" customWidth="1"/>
    <col min="9" max="9" width="10.5" customWidth="1"/>
    <col min="10" max="10" width="14.5" customWidth="1"/>
    <col min="11" max="11" width="14.1640625" customWidth="1"/>
    <col min="12" max="17" width="12" customWidth="1"/>
    <col min="18" max="18" width="21.1640625" customWidth="1"/>
    <col min="19" max="19" width="17.33203125" customWidth="1"/>
    <col min="20" max="20" width="25" customWidth="1"/>
    <col min="21" max="21" width="17.5" customWidth="1"/>
    <col min="27" max="27" width="14.6640625" customWidth="1"/>
    <col min="28" max="28" width="19.33203125" customWidth="1"/>
  </cols>
  <sheetData>
    <row r="4" spans="1:27" s="1" customFormat="1" ht="85" x14ac:dyDescent="0.2">
      <c r="A4" s="1" t="s">
        <v>0</v>
      </c>
      <c r="B4" s="1" t="s">
        <v>9</v>
      </c>
      <c r="C4" s="1" t="s">
        <v>42</v>
      </c>
      <c r="D4" s="1" t="s">
        <v>41</v>
      </c>
      <c r="E4" s="1" t="s">
        <v>54</v>
      </c>
      <c r="F4" s="1" t="s">
        <v>7</v>
      </c>
      <c r="G4" s="1" t="s">
        <v>8</v>
      </c>
      <c r="H4" s="1" t="s">
        <v>2</v>
      </c>
      <c r="I4" s="1" t="s">
        <v>25</v>
      </c>
      <c r="J4" s="1" t="s">
        <v>3</v>
      </c>
      <c r="K4" s="1" t="s">
        <v>4</v>
      </c>
      <c r="L4" s="1" t="s">
        <v>26</v>
      </c>
      <c r="M4" s="1" t="s">
        <v>27</v>
      </c>
      <c r="N4" s="1" t="s">
        <v>51</v>
      </c>
      <c r="O4" s="1" t="s">
        <v>50</v>
      </c>
      <c r="P4" s="1" t="s">
        <v>49</v>
      </c>
      <c r="Q4" s="1" t="s">
        <v>28</v>
      </c>
      <c r="R4" s="1" t="s">
        <v>1</v>
      </c>
      <c r="S4" s="1" t="s">
        <v>5</v>
      </c>
      <c r="T4" s="1" t="s">
        <v>48</v>
      </c>
      <c r="U4" s="1" t="s">
        <v>6</v>
      </c>
    </row>
    <row r="5" spans="1:27" x14ac:dyDescent="0.2">
      <c r="A5">
        <v>1</v>
      </c>
    </row>
    <row r="7" spans="1:27" x14ac:dyDescent="0.2">
      <c r="A7">
        <v>2</v>
      </c>
      <c r="B7" t="s">
        <v>12</v>
      </c>
      <c r="C7">
        <v>4.12</v>
      </c>
      <c r="D7" t="s">
        <v>45</v>
      </c>
      <c r="F7" t="s">
        <v>44</v>
      </c>
      <c r="G7">
        <v>16</v>
      </c>
      <c r="H7" t="s">
        <v>40</v>
      </c>
      <c r="I7">
        <v>185</v>
      </c>
      <c r="J7">
        <v>13</v>
      </c>
      <c r="K7">
        <v>57.2</v>
      </c>
      <c r="L7">
        <f>(K7*1000)/G7</f>
        <v>3575</v>
      </c>
      <c r="M7">
        <f>L7*(3600/I7)</f>
        <v>69567.567567567574</v>
      </c>
      <c r="N7">
        <v>2</v>
      </c>
      <c r="O7">
        <f>M7/(365*N7)</f>
        <v>95.2980377637912</v>
      </c>
      <c r="P7">
        <v>15</v>
      </c>
      <c r="Q7">
        <f>J7/2.2*2/4</f>
        <v>2.9545454545454541</v>
      </c>
      <c r="R7">
        <v>209</v>
      </c>
      <c r="S7">
        <v>6</v>
      </c>
      <c r="T7">
        <f>R7*S7*31</f>
        <v>38874</v>
      </c>
      <c r="U7" t="s">
        <v>10</v>
      </c>
      <c r="V7" t="s">
        <v>17</v>
      </c>
      <c r="AA7" t="s">
        <v>36</v>
      </c>
    </row>
    <row r="8" spans="1:27" x14ac:dyDescent="0.2">
      <c r="O8">
        <f t="shared" ref="O8:O10" si="0">M8/(365*3)</f>
        <v>0</v>
      </c>
      <c r="T8">
        <f t="shared" ref="T8:T11" si="1">R8*S8*31</f>
        <v>0</v>
      </c>
    </row>
    <row r="9" spans="1:27" x14ac:dyDescent="0.2">
      <c r="A9">
        <v>3</v>
      </c>
      <c r="B9" t="s">
        <v>11</v>
      </c>
      <c r="C9">
        <v>4.12</v>
      </c>
      <c r="D9" t="s">
        <v>45</v>
      </c>
      <c r="E9">
        <v>35</v>
      </c>
      <c r="F9" t="s">
        <v>46</v>
      </c>
      <c r="G9">
        <v>12</v>
      </c>
      <c r="H9" t="s">
        <v>47</v>
      </c>
      <c r="I9">
        <v>320</v>
      </c>
      <c r="J9">
        <v>13</v>
      </c>
      <c r="K9">
        <v>57.2</v>
      </c>
      <c r="L9">
        <f t="shared" ref="L9:L11" si="2">(K9*1000)/G9</f>
        <v>4766.666666666667</v>
      </c>
      <c r="M9">
        <f t="shared" ref="M9:M11" si="3">L9*(3600/I9)</f>
        <v>53625</v>
      </c>
      <c r="N9">
        <v>3</v>
      </c>
      <c r="O9">
        <f>M9/(365*N9)</f>
        <v>48.972602739726028</v>
      </c>
      <c r="P9">
        <v>30</v>
      </c>
      <c r="Q9">
        <f>J9/2.2*2/4</f>
        <v>2.9545454545454541</v>
      </c>
      <c r="R9">
        <v>394</v>
      </c>
      <c r="S9">
        <v>2</v>
      </c>
      <c r="T9">
        <f t="shared" si="1"/>
        <v>24428</v>
      </c>
      <c r="U9" t="s">
        <v>16</v>
      </c>
      <c r="AA9" t="s">
        <v>34</v>
      </c>
    </row>
    <row r="10" spans="1:27" x14ac:dyDescent="0.2">
      <c r="O10">
        <f t="shared" si="0"/>
        <v>0</v>
      </c>
      <c r="T10">
        <f t="shared" si="1"/>
        <v>0</v>
      </c>
    </row>
    <row r="11" spans="1:27" x14ac:dyDescent="0.2">
      <c r="A11">
        <v>4</v>
      </c>
      <c r="B11" t="s">
        <v>13</v>
      </c>
      <c r="C11">
        <v>4.12</v>
      </c>
      <c r="D11" t="s">
        <v>45</v>
      </c>
      <c r="F11" t="s">
        <v>14</v>
      </c>
      <c r="G11">
        <v>8</v>
      </c>
      <c r="H11" t="s">
        <v>15</v>
      </c>
      <c r="I11">
        <v>204</v>
      </c>
      <c r="J11">
        <v>13</v>
      </c>
      <c r="K11">
        <v>57.2</v>
      </c>
      <c r="L11">
        <f t="shared" si="2"/>
        <v>7150</v>
      </c>
      <c r="M11">
        <f t="shared" si="3"/>
        <v>126176.4705882353</v>
      </c>
      <c r="N11">
        <v>4</v>
      </c>
      <c r="O11">
        <f>M11/(365*N11)</f>
        <v>86.422240128928294</v>
      </c>
      <c r="P11">
        <v>30</v>
      </c>
      <c r="Q11">
        <f>J11/2.2*2/4</f>
        <v>2.9545454545454541</v>
      </c>
      <c r="R11">
        <v>284</v>
      </c>
      <c r="S11">
        <v>1</v>
      </c>
      <c r="T11">
        <f t="shared" si="1"/>
        <v>8804</v>
      </c>
      <c r="U11" t="s">
        <v>18</v>
      </c>
      <c r="Y11" t="s">
        <v>19</v>
      </c>
      <c r="AA11" t="s">
        <v>35</v>
      </c>
    </row>
    <row r="13" spans="1:27" x14ac:dyDescent="0.2">
      <c r="A13" t="s">
        <v>52</v>
      </c>
      <c r="E13">
        <v>30</v>
      </c>
      <c r="F13" t="s">
        <v>55</v>
      </c>
      <c r="G13">
        <v>12</v>
      </c>
      <c r="I13">
        <v>320</v>
      </c>
      <c r="J13">
        <v>13</v>
      </c>
      <c r="K13">
        <v>57.2</v>
      </c>
      <c r="L13">
        <f t="shared" ref="L13" si="4">(K13*1000)/G13</f>
        <v>4766.666666666667</v>
      </c>
      <c r="M13">
        <f t="shared" ref="M13" si="5">L13*(3600/I13)</f>
        <v>53625</v>
      </c>
      <c r="N13">
        <v>3</v>
      </c>
      <c r="O13">
        <f>M13/(365*N13)</f>
        <v>48.972602739726028</v>
      </c>
      <c r="P13">
        <v>30</v>
      </c>
      <c r="Q13">
        <f>J13/2.2*2/3</f>
        <v>3.939393939393939</v>
      </c>
      <c r="R13">
        <v>286</v>
      </c>
      <c r="S13">
        <v>8</v>
      </c>
      <c r="T13">
        <f t="shared" ref="T13" si="6">R13*S13*31</f>
        <v>70928</v>
      </c>
    </row>
    <row r="14" spans="1:27" x14ac:dyDescent="0.2">
      <c r="T14">
        <f>SUM(T7:T11)/3</f>
        <v>24035.333333333332</v>
      </c>
    </row>
    <row r="15" spans="1:27" x14ac:dyDescent="0.2">
      <c r="O15" t="s">
        <v>37</v>
      </c>
      <c r="Q15" t="s">
        <v>37</v>
      </c>
    </row>
    <row r="16" spans="1:27" x14ac:dyDescent="0.2">
      <c r="T16" t="s">
        <v>29</v>
      </c>
    </row>
    <row r="17" spans="1:20" x14ac:dyDescent="0.2">
      <c r="A17" t="s">
        <v>22</v>
      </c>
      <c r="B17">
        <v>1.3</v>
      </c>
    </row>
    <row r="18" spans="1:20" x14ac:dyDescent="0.2">
      <c r="A18" t="s">
        <v>20</v>
      </c>
      <c r="B18">
        <f>22*1.3</f>
        <v>28.6</v>
      </c>
    </row>
    <row r="19" spans="1:20" x14ac:dyDescent="0.2">
      <c r="A19" t="s">
        <v>21</v>
      </c>
      <c r="B19">
        <f>44*1.3</f>
        <v>57.2</v>
      </c>
      <c r="T19" t="e">
        <f>(#REF!+T11+T9)/3</f>
        <v>#REF!</v>
      </c>
    </row>
    <row r="20" spans="1:20" x14ac:dyDescent="0.2">
      <c r="M20" t="s">
        <v>43</v>
      </c>
    </row>
    <row r="21" spans="1:20" x14ac:dyDescent="0.2">
      <c r="M21" t="s">
        <v>38</v>
      </c>
    </row>
    <row r="22" spans="1:20" x14ac:dyDescent="0.2">
      <c r="A22" t="s">
        <v>23</v>
      </c>
      <c r="B22">
        <f>21*B17</f>
        <v>27.3</v>
      </c>
      <c r="M22" t="s">
        <v>39</v>
      </c>
    </row>
    <row r="23" spans="1:20" x14ac:dyDescent="0.2">
      <c r="A23" t="s">
        <v>24</v>
      </c>
      <c r="B23">
        <f>B17*10</f>
        <v>13</v>
      </c>
    </row>
    <row r="25" spans="1:20" x14ac:dyDescent="0.2">
      <c r="A25" t="s">
        <v>53</v>
      </c>
      <c r="B25">
        <f>320/(35*4)</f>
        <v>2.2857142857142856</v>
      </c>
      <c r="E25">
        <f>E13*3*B25</f>
        <v>205.71428571428569</v>
      </c>
    </row>
    <row r="26" spans="1:20" x14ac:dyDescent="0.2">
      <c r="T26">
        <v>54</v>
      </c>
    </row>
    <row r="28" spans="1:20" x14ac:dyDescent="0.2">
      <c r="B28" t="s">
        <v>30</v>
      </c>
    </row>
    <row r="30" spans="1:20" x14ac:dyDescent="0.2">
      <c r="B30" t="s">
        <v>31</v>
      </c>
    </row>
    <row r="33" spans="2:5" x14ac:dyDescent="0.2">
      <c r="B33" t="s">
        <v>32</v>
      </c>
    </row>
    <row r="37" spans="2:5" x14ac:dyDescent="0.2">
      <c r="B37" t="s">
        <v>33</v>
      </c>
    </row>
    <row r="38" spans="2:5" x14ac:dyDescent="0.2">
      <c r="B38" s="2"/>
      <c r="C38" s="2"/>
      <c r="D38" s="2"/>
      <c r="E38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Laepple</dc:creator>
  <cp:lastModifiedBy>Thomas Laepple</cp:lastModifiedBy>
  <dcterms:created xsi:type="dcterms:W3CDTF">2026-01-15T12:54:48Z</dcterms:created>
  <dcterms:modified xsi:type="dcterms:W3CDTF">2026-04-29T15:59:08Z</dcterms:modified>
</cp:coreProperties>
</file>